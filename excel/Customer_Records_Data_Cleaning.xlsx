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6f7bce030adf2e/Documents/"/>
    </mc:Choice>
  </mc:AlternateContent>
  <xr:revisionPtr revIDLastSave="118" documentId="8_{0FDD951A-0AE0-4681-A7B2-A6C1EE8DA997}" xr6:coauthVersionLast="47" xr6:coauthVersionMax="47" xr10:uidLastSave="{9BC4F8BC-DC8C-4B61-BF5E-C20EB62A49C3}"/>
  <bookViews>
    <workbookView xWindow="-110" yWindow="-110" windowWidth="19420" windowHeight="10300" firstSheet="2" activeTab="4" xr2:uid="{F43E6DB5-0DB8-4BBA-8E5B-7159673591D2}"/>
  </bookViews>
  <sheets>
    <sheet name="Raw_Data" sheetId="1" r:id="rId1"/>
    <sheet name="Data_Quality_Check" sheetId="2" r:id="rId2"/>
    <sheet name="Cleaned_Data" sheetId="3" r:id="rId3"/>
    <sheet name="Validation_Check" sheetId="4" r:id="rId4"/>
    <sheet name="Summary" sheetId="5" r:id="rId5"/>
  </sheet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5" l="1"/>
  <c r="B6" i="5"/>
  <c r="B5" i="5"/>
  <c r="B4" i="5"/>
  <c r="B3" i="5"/>
  <c r="C7" i="4" a="1"/>
  <c r="C7" i="4" s="1"/>
  <c r="C6" i="4" a="1"/>
  <c r="C6" i="4" s="1"/>
  <c r="C5" i="4"/>
  <c r="C4" i="4"/>
  <c r="C3" i="4" a="1"/>
  <c r="C3" i="4" s="1"/>
  <c r="C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<sst xmlns="http://schemas.openxmlformats.org/spreadsheetml/2006/main" count="483" uniqueCount="238">
  <si>
    <t>Customer_ID</t>
  </si>
  <si>
    <t>Full_Name</t>
  </si>
  <si>
    <t>Gender</t>
  </si>
  <si>
    <t>Phone</t>
  </si>
  <si>
    <t>Email</t>
  </si>
  <si>
    <t>City</t>
  </si>
  <si>
    <t>Registration_Date</t>
  </si>
  <si>
    <t>C001</t>
  </si>
  <si>
    <t>John Okafor</t>
  </si>
  <si>
    <t>Male</t>
  </si>
  <si>
    <t>0803-123-4567</t>
  </si>
  <si>
    <t>john.okafor@email.com</t>
  </si>
  <si>
    <t>Abuja</t>
  </si>
  <si>
    <t>C002</t>
  </si>
  <si>
    <t>mary adeleke</t>
  </si>
  <si>
    <t>Female</t>
  </si>
  <si>
    <t>mary.adeleke@email.com</t>
  </si>
  <si>
    <t>Lagos</t>
  </si>
  <si>
    <t>15/01/2026</t>
  </si>
  <si>
    <t>C003</t>
  </si>
  <si>
    <t>PETER OBI</t>
  </si>
  <si>
    <t>M</t>
  </si>
  <si>
    <t>0812 456 7890</t>
  </si>
  <si>
    <t>peter.obi@email.com</t>
  </si>
  <si>
    <t>18/01/2026</t>
  </si>
  <si>
    <t>C004</t>
  </si>
  <si>
    <t>Aisha Bello</t>
  </si>
  <si>
    <t>0703-555-8899</t>
  </si>
  <si>
    <t>aisha.bello@email.com</t>
  </si>
  <si>
    <t>Kano</t>
  </si>
  <si>
    <t>20/01/2026</t>
  </si>
  <si>
    <t>C005</t>
  </si>
  <si>
    <t>david james</t>
  </si>
  <si>
    <t>male</t>
  </si>
  <si>
    <t>0901-234-5678</t>
  </si>
  <si>
    <t>david.james@email.com</t>
  </si>
  <si>
    <t>Port Harcourt</t>
  </si>
  <si>
    <t>22/01/2026</t>
  </si>
  <si>
    <t>C006</t>
  </si>
  <si>
    <t>Grace Eze</t>
  </si>
  <si>
    <t>F</t>
  </si>
  <si>
    <t>0805 778 1122</t>
  </si>
  <si>
    <t>grace.eze@email.com</t>
  </si>
  <si>
    <t>Enugu</t>
  </si>
  <si>
    <t>25/01/2026</t>
  </si>
  <si>
    <t>C007</t>
  </si>
  <si>
    <t>Michael Adeyemi</t>
  </si>
  <si>
    <t>0810-222-3344</t>
  </si>
  <si>
    <t>michael.adeyemi@email.com</t>
  </si>
  <si>
    <t>Ibadan</t>
  </si>
  <si>
    <t>28/01/2026</t>
  </si>
  <si>
    <t>C008</t>
  </si>
  <si>
    <t>Fatima Musa</t>
  </si>
  <si>
    <t>female</t>
  </si>
  <si>
    <t>0706-445-7788</t>
  </si>
  <si>
    <t>fatima.musa@email.com</t>
  </si>
  <si>
    <t>Kaduna</t>
  </si>
  <si>
    <t>30/01/2026</t>
  </si>
  <si>
    <t>C009</t>
  </si>
  <si>
    <t>Samuel Okoro</t>
  </si>
  <si>
    <t>0803-999-1122</t>
  </si>
  <si>
    <t>samuel.okoro@email.com</t>
  </si>
  <si>
    <t>C010</t>
  </si>
  <si>
    <t>blessing john</t>
  </si>
  <si>
    <t>0814-333-5566</t>
  </si>
  <si>
    <t>blessing.john@email.com</t>
  </si>
  <si>
    <t>C011</t>
  </si>
  <si>
    <t>Chinedu Eze</t>
  </si>
  <si>
    <t>0902-555-6677</t>
  </si>
  <si>
    <t>chinedu.eze@email.com</t>
  </si>
  <si>
    <t>C012</t>
  </si>
  <si>
    <t>Ada Williams</t>
  </si>
  <si>
    <t>0807-123-8899</t>
  </si>
  <si>
    <t>ada.williams@email.com</t>
  </si>
  <si>
    <t>C013</t>
  </si>
  <si>
    <t>Ibrahim Sani</t>
  </si>
  <si>
    <t>0704-222-1133</t>
  </si>
  <si>
    <t>ibrahim.sani@email.com</t>
  </si>
  <si>
    <t>C014</t>
  </si>
  <si>
    <t>Ngozi Okeke</t>
  </si>
  <si>
    <t>0815 444 7788</t>
  </si>
  <si>
    <t>ngozi.okeke@email.com</t>
  </si>
  <si>
    <t>Owerri</t>
  </si>
  <si>
    <t>15/02/2026</t>
  </si>
  <si>
    <t>C015</t>
  </si>
  <si>
    <t>Daniel Thomas</t>
  </si>
  <si>
    <t>0806-888-9900</t>
  </si>
  <si>
    <t>daniel.thomas@email.com</t>
  </si>
  <si>
    <t>18/02/2026</t>
  </si>
  <si>
    <t>C016</t>
  </si>
  <si>
    <t>Sarah Johnson</t>
  </si>
  <si>
    <t>0903-111-2233</t>
  </si>
  <si>
    <t>sarah.johnson@email.com</t>
  </si>
  <si>
    <t>20/02/2026</t>
  </si>
  <si>
    <t>C017</t>
  </si>
  <si>
    <t>Emmanuel Udo</t>
  </si>
  <si>
    <t>0808-555-6677</t>
  </si>
  <si>
    <t>emmanuel.udo@email.com</t>
  </si>
  <si>
    <t>Calabar</t>
  </si>
  <si>
    <t>22/02/2026</t>
  </si>
  <si>
    <t>C018</t>
  </si>
  <si>
    <t>halima abdullahi</t>
  </si>
  <si>
    <t>0705-333-4455</t>
  </si>
  <si>
    <t>halima.abdullahi@email.com</t>
  </si>
  <si>
    <t>25/02/2026</t>
  </si>
  <si>
    <t>C019</t>
  </si>
  <si>
    <t>Victor Nwosu</t>
  </si>
  <si>
    <t>0816-777-8899</t>
  </si>
  <si>
    <t>victor.nwosu@email.com</t>
  </si>
  <si>
    <t>28/02/2026</t>
  </si>
  <si>
    <t>C020</t>
  </si>
  <si>
    <t>Ruth Peter</t>
  </si>
  <si>
    <t>0809-222-3344</t>
  </si>
  <si>
    <t>ruth.peter@email.com</t>
  </si>
  <si>
    <t>C021</t>
  </si>
  <si>
    <t>C022</t>
  </si>
  <si>
    <t>Esther Paul</t>
  </si>
  <si>
    <t>0817-555-6677</t>
  </si>
  <si>
    <t>esther.paul@email.com</t>
  </si>
  <si>
    <t>C023</t>
  </si>
  <si>
    <t>Moses Daniel</t>
  </si>
  <si>
    <t>0708 111 2233</t>
  </si>
  <si>
    <t>moses.daniel@email.com</t>
  </si>
  <si>
    <t>C024</t>
  </si>
  <si>
    <t>amaka obi</t>
  </si>
  <si>
    <t>0802-444-5566</t>
  </si>
  <si>
    <t>amaka.obi@email.com</t>
  </si>
  <si>
    <t>C025</t>
  </si>
  <si>
    <t>Yusuf Ibrahim</t>
  </si>
  <si>
    <t>0904-777-8899</t>
  </si>
  <si>
    <t>yusuf.ibrahim@email.com</t>
  </si>
  <si>
    <t>C026</t>
  </si>
  <si>
    <t>Linda Brown</t>
  </si>
  <si>
    <t>0818-333-4455</t>
  </si>
  <si>
    <t>linda.brown@email.com</t>
  </si>
  <si>
    <t>15/03/2026</t>
  </si>
  <si>
    <t>C027</t>
  </si>
  <si>
    <t>Anthony Eze</t>
  </si>
  <si>
    <t>0804-555-6677</t>
  </si>
  <si>
    <t>anthony.eze@email.com</t>
  </si>
  <si>
    <t>18/03/2026</t>
  </si>
  <si>
    <t>C028</t>
  </si>
  <si>
    <t>C029</t>
  </si>
  <si>
    <t>Hassan Musa</t>
  </si>
  <si>
    <t>0702-888-9900</t>
  </si>
  <si>
    <t>hassan.musa@email.com</t>
  </si>
  <si>
    <t>22/03/2026</t>
  </si>
  <si>
    <t>C030</t>
  </si>
  <si>
    <t>Joy Emmanuel</t>
  </si>
  <si>
    <t>0801-222-3344</t>
  </si>
  <si>
    <t>joy.emmanuel@email.com</t>
  </si>
  <si>
    <t>25/03/2026</t>
  </si>
  <si>
    <t>Issue</t>
  </si>
  <si>
    <t>Column</t>
  </si>
  <si>
    <t>Example</t>
  </si>
  <si>
    <t>Action Required</t>
  </si>
  <si>
    <t>Inconsistent capitalization</t>
  </si>
  <si>
    <t>Standardize names</t>
  </si>
  <si>
    <t>Inconsistent gender values</t>
  </si>
  <si>
    <t>M / Male</t>
  </si>
  <si>
    <t>Standardize values</t>
  </si>
  <si>
    <t>F / Female</t>
  </si>
  <si>
    <t>male / female</t>
  </si>
  <si>
    <t>Inconsistent phone format</t>
  </si>
  <si>
    <t>08061234567 vs 0803-123-4567</t>
  </si>
  <si>
    <t>Standardize format</t>
  </si>
  <si>
    <t>Leading/trailing space</t>
  </si>
  <si>
    <t>Remove extra space</t>
  </si>
  <si>
    <t>Duplicate record</t>
  </si>
  <si>
    <t>Customer_ID / customer details</t>
  </si>
  <si>
    <t>C001 and C021</t>
  </si>
  <si>
    <t>Investigate/remove duplicate</t>
  </si>
  <si>
    <t>C016 and C028</t>
  </si>
  <si>
    <t>Mary Adeleke</t>
  </si>
  <si>
    <t>Peter Obi</t>
  </si>
  <si>
    <t>David James</t>
  </si>
  <si>
    <t>Blessing John</t>
  </si>
  <si>
    <t>Halima Abdullahi</t>
  </si>
  <si>
    <t>Amaka Obi</t>
  </si>
  <si>
    <t>08031234567</t>
  </si>
  <si>
    <t>8061234567</t>
  </si>
  <si>
    <t>08124567890</t>
  </si>
  <si>
    <t>07035558899</t>
  </si>
  <si>
    <t>09012345678</t>
  </si>
  <si>
    <t>08057781122</t>
  </si>
  <si>
    <t>08102223344</t>
  </si>
  <si>
    <t>07064457788</t>
  </si>
  <si>
    <t>08039991122</t>
  </si>
  <si>
    <t>08143335566</t>
  </si>
  <si>
    <t>09025556677</t>
  </si>
  <si>
    <t>08071238899</t>
  </si>
  <si>
    <t>07042221133</t>
  </si>
  <si>
    <t>08154447788</t>
  </si>
  <si>
    <t>08068889900</t>
  </si>
  <si>
    <t>09031112233</t>
  </si>
  <si>
    <t>08085556677</t>
  </si>
  <si>
    <t>07053334455</t>
  </si>
  <si>
    <t>08167778899</t>
  </si>
  <si>
    <t>08092223344</t>
  </si>
  <si>
    <t>08175556677</t>
  </si>
  <si>
    <t>07081112233</t>
  </si>
  <si>
    <t>08024445566</t>
  </si>
  <si>
    <t>09047778899</t>
  </si>
  <si>
    <t>08183334455</t>
  </si>
  <si>
    <t>08045556677</t>
  </si>
  <si>
    <t>07028889900</t>
  </si>
  <si>
    <t>08012223344</t>
  </si>
  <si>
    <t>Formula/Method</t>
  </si>
  <si>
    <t>Expected Result</t>
  </si>
  <si>
    <t>Actual Result</t>
  </si>
  <si>
    <t>Validation</t>
  </si>
  <si>
    <t>Record Count</t>
  </si>
  <si>
    <t>COUNTA()</t>
  </si>
  <si>
    <t>Duplicate Customer</t>
  </si>
  <si>
    <t>SUMPRODUCT</t>
  </si>
  <si>
    <t>Missing Names</t>
  </si>
  <si>
    <t>COUNTBLANK</t>
  </si>
  <si>
    <t>Missing Emails</t>
  </si>
  <si>
    <t>Invalid Gender Values</t>
  </si>
  <si>
    <t>Invalid Phone Length</t>
  </si>
  <si>
    <t xml:space="preserve"> </t>
  </si>
  <si>
    <t>CUSTOMER RECORDS DATA QUALITY SUMMARY</t>
  </si>
  <si>
    <t>Total Customers</t>
  </si>
  <si>
    <t>Male Customers</t>
  </si>
  <si>
    <t>Female Customers</t>
  </si>
  <si>
    <t xml:space="preserve">City </t>
  </si>
  <si>
    <t>Summary Items</t>
  </si>
  <si>
    <t>Expected Results</t>
  </si>
  <si>
    <t xml:space="preserve">Summary Report </t>
  </si>
  <si>
    <t>1. How many customers are there?</t>
  </si>
  <si>
    <t>2. How many are Male/Female?</t>
  </si>
  <si>
    <t>3. Which cities have the most customers?</t>
  </si>
  <si>
    <t>4. What percentage of customers are in each gender category?</t>
  </si>
  <si>
    <t xml:space="preserve">CITY SUMMARY </t>
  </si>
  <si>
    <t>Grand Total</t>
  </si>
  <si>
    <t>No of Customer_ID</t>
  </si>
  <si>
    <t>Male %</t>
  </si>
  <si>
    <t>Female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</si>
</sst>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2">
    <cellStyle name="Normal" xfId="0" builtinId="0"/>
    <cellStyle name="Percent" xfId="1" builtinId="5"/>
  </cellStyles>
  <dxfs count="1">
    <dxf>
      <numFmt numFmtId="19" formatCode="m/d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[Customer_Records_Data_Cleaning.xlsx]Summary!PivotTable1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Customer Distribution by City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Summary!$B$11:$B$20</c:f>
              <c:strCache>
                <c:ptCount val="9"/>
                <c:pt idx="0">
                  <c:v>Abuja</c:v>
                </c:pt>
                <c:pt idx="1">
                  <c:v>Calabar</c:v>
                </c:pt>
                <c:pt idx="2">
                  <c:v>Enugu</c:v>
                </c:pt>
                <c:pt idx="3">
                  <c:v>Ibadan</c:v>
                </c:pt>
                <c:pt idx="4">
                  <c:v>Kaduna</c:v>
                </c:pt>
                <c:pt idx="5">
                  <c:v>Kano</c:v>
                </c:pt>
                <c:pt idx="6">
                  <c:v>Lagos</c:v>
                </c:pt>
                <c:pt idx="7">
                  <c:v>Owerri</c:v>
                </c:pt>
                <c:pt idx="8">
                  <c:v>Port Harcourt</c:v>
                </c:pt>
              </c:strCache>
            </c:strRef>
          </c:cat>
          <c:val>
            <c:numRef>
              <c:f>Summary!$C$11:$C$20</c:f>
              <c:numCache>
                <c:formatCode>General</c:formatCode>
                <c:ptCount val="9"/>
                <c:pt idx="0">
                  <c:v>6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0-4D81-ADB3-564DB0B5A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16927"/>
        <c:axId val="447117759"/>
      </c:barChart>
      <c:catAx>
        <c:axId val="44711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17759"/>
        <c:crosses val="autoZero"/>
        <c:auto val="1"/>
        <c:lblAlgn val="ctr"/>
        <c:lblOffset val="100"/>
        <c:noMultiLvlLbl val="0"/>
      </c:catAx>
      <c:valAx>
        <c:axId val="4471177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711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8</xdr:row>
      <xdr:rowOff>15875</xdr:rowOff>
    </xdr:from>
    <xdr:to>
      <xdr:col>8</xdr:col>
      <xdr:colOff>355600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D8CCC-4233-4355-9D60-5AAF44756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00.616136574077" createdVersion="7" refreshedVersion="7" minRefreshableVersion="3" recordCount="28" xr:uid="{77CFA90A-C774-4F86-B49C-369DAC8135EC}">
  <cacheSource type="worksheet">
    <worksheetSource name="Table2"/>
  </cacheSource>
  <cacheFields count="7">
    <cacheField name="Customer_ID" numFmtId="0">
      <sharedItems/>
    </cacheField>
    <cacheField name="Full_Name" numFmtId="0">
      <sharedItems/>
    </cacheField>
    <cacheField name="Gender" numFmtId="0">
      <sharedItems/>
    </cacheField>
    <cacheField name="Phone" numFmtId="0">
      <sharedItems/>
    </cacheField>
    <cacheField name="Email" numFmtId="0">
      <sharedItems/>
    </cacheField>
    <cacheField name="City" numFmtId="0">
      <sharedItems count="9">
        <s v="Abuja"/>
        <s v="Lagos"/>
        <s v="Kano"/>
        <s v="Port Harcourt"/>
        <s v="Enugu"/>
        <s v="Ibadan"/>
        <s v="Kaduna"/>
        <s v="Owerri"/>
        <s v="Calabar"/>
      </sharedItems>
    </cacheField>
    <cacheField name="Registration_Date" numFmtId="14">
      <sharedItems containsDate="1" containsMixedTypes="1" minDate="2026-02-02T00:00:00" maxDate="2026-12-0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C001"/>
    <s v="John Okafor"/>
    <s v="Male"/>
    <s v="08031234567"/>
    <s v="john.okafor@email.com"/>
    <x v="0"/>
    <d v="2026-12-01T00:00:00"/>
  </r>
  <r>
    <s v="C002"/>
    <s v="Mary Adeleke"/>
    <s v="Female"/>
    <s v="8061234567"/>
    <s v="mary.adeleke@email.com"/>
    <x v="1"/>
    <s v="15/01/2026"/>
  </r>
  <r>
    <s v="C003"/>
    <s v="Peter Obi"/>
    <s v="Male"/>
    <s v="08124567890"/>
    <s v="peter.obi@email.com"/>
    <x v="0"/>
    <s v="18/01/2026"/>
  </r>
  <r>
    <s v="C004"/>
    <s v="Aisha Bello"/>
    <s v="Female"/>
    <s v="07035558899"/>
    <s v="aisha.bello@email.com"/>
    <x v="2"/>
    <s v="20/01/2026"/>
  </r>
  <r>
    <s v="C005"/>
    <s v="David James"/>
    <s v="Male"/>
    <s v="09012345678"/>
    <s v="david.james@email.com"/>
    <x v="3"/>
    <s v="22/01/2026"/>
  </r>
  <r>
    <s v="C006"/>
    <s v="Grace Eze"/>
    <s v="Female"/>
    <s v="08057781122"/>
    <s v="grace.eze@email.com"/>
    <x v="4"/>
    <s v="25/01/2026"/>
  </r>
  <r>
    <s v="C007"/>
    <s v="Michael Adeyemi"/>
    <s v="Male"/>
    <s v="08102223344"/>
    <s v="michael.adeyemi@email.com"/>
    <x v="5"/>
    <s v="28/01/2026"/>
  </r>
  <r>
    <s v="C008"/>
    <s v="Fatima Musa"/>
    <s v="Female"/>
    <s v="07064457788"/>
    <s v="fatima.musa@email.com"/>
    <x v="6"/>
    <s v="30/01/2026"/>
  </r>
  <r>
    <s v="C009"/>
    <s v="Samuel Okoro"/>
    <s v="Male"/>
    <s v="08039991122"/>
    <s v="samuel.okoro@email.com"/>
    <x v="1"/>
    <d v="2026-02-02T00:00:00"/>
  </r>
  <r>
    <s v="C010"/>
    <s v="Blessing John"/>
    <s v="Female"/>
    <s v="08143335566"/>
    <s v="blessing.john@email.com"/>
    <x v="0"/>
    <d v="2026-05-02T00:00:00"/>
  </r>
  <r>
    <s v="C011"/>
    <s v="Chinedu Eze"/>
    <s v="Male"/>
    <s v="09025556677"/>
    <s v="chinedu.eze@email.com"/>
    <x v="4"/>
    <d v="2026-08-02T00:00:00"/>
  </r>
  <r>
    <s v="C012"/>
    <s v="Ada Williams"/>
    <s v="Female"/>
    <s v="08071238899"/>
    <s v="ada.williams@email.com"/>
    <x v="1"/>
    <d v="2026-10-02T00:00:00"/>
  </r>
  <r>
    <s v="C013"/>
    <s v="Ibrahim Sani"/>
    <s v="Male"/>
    <s v="07042221133"/>
    <s v="ibrahim.sani@email.com"/>
    <x v="2"/>
    <d v="2026-12-02T00:00:00"/>
  </r>
  <r>
    <s v="C014"/>
    <s v="Ngozi Okeke"/>
    <s v="Female"/>
    <s v="08154447788"/>
    <s v="ngozi.okeke@email.com"/>
    <x v="7"/>
    <s v="15/02/2026"/>
  </r>
  <r>
    <s v="C015"/>
    <s v="Daniel Thomas"/>
    <s v="Male"/>
    <s v="08068889900"/>
    <s v="daniel.thomas@email.com"/>
    <x v="0"/>
    <s v="18/02/2026"/>
  </r>
  <r>
    <s v="C016"/>
    <s v="Sarah Johnson"/>
    <s v="Female"/>
    <s v="09031112233"/>
    <s v="sarah.johnson@email.com"/>
    <x v="1"/>
    <s v="20/02/2026"/>
  </r>
  <r>
    <s v="C017"/>
    <s v="Emmanuel Udo"/>
    <s v="Male"/>
    <s v="08085556677"/>
    <s v="emmanuel.udo@email.com"/>
    <x v="8"/>
    <s v="22/02/2026"/>
  </r>
  <r>
    <s v="C018"/>
    <s v="Halima Abdullahi"/>
    <s v="Female"/>
    <s v="07053334455"/>
    <s v="halima.abdullahi@email.com"/>
    <x v="6"/>
    <s v="25/02/2026"/>
  </r>
  <r>
    <s v="C019"/>
    <s v="Victor Nwosu"/>
    <s v="Male"/>
    <s v="08167778899"/>
    <s v="victor.nwosu@email.com"/>
    <x v="4"/>
    <s v="28/02/2026"/>
  </r>
  <r>
    <s v="C020"/>
    <s v="Ruth Peter"/>
    <s v="Female"/>
    <s v="08092223344"/>
    <s v="ruth.peter@email.com"/>
    <x v="0"/>
    <d v="2026-02-03T00:00:00"/>
  </r>
  <r>
    <s v="C022"/>
    <s v="Esther Paul"/>
    <s v="Female"/>
    <s v="08175556677"/>
    <s v="esther.paul@email.com"/>
    <x v="1"/>
    <d v="2026-05-03T00:00:00"/>
  </r>
  <r>
    <s v="C023"/>
    <s v="Moses Daniel"/>
    <s v="Male"/>
    <s v="07081112233"/>
    <s v="moses.daniel@email.com"/>
    <x v="5"/>
    <d v="2026-08-03T00:00:00"/>
  </r>
  <r>
    <s v="C024"/>
    <s v="Amaka Obi"/>
    <s v="Female"/>
    <s v="08024445566"/>
    <s v="amaka.obi@email.com"/>
    <x v="7"/>
    <d v="2026-10-03T00:00:00"/>
  </r>
  <r>
    <s v="C025"/>
    <s v="Yusuf Ibrahim"/>
    <s v="Male"/>
    <s v="09047778899"/>
    <s v="yusuf.ibrahim@email.com"/>
    <x v="2"/>
    <d v="2026-12-03T00:00:00"/>
  </r>
  <r>
    <s v="C026"/>
    <s v="Linda Brown"/>
    <s v="Female"/>
    <s v="08183334455"/>
    <s v="linda.brown@email.com"/>
    <x v="1"/>
    <s v="15/03/2026"/>
  </r>
  <r>
    <s v="C027"/>
    <s v="Anthony Eze"/>
    <s v="Male"/>
    <s v="08045556677"/>
    <s v="anthony.eze@email.com"/>
    <x v="4"/>
    <s v="18/03/2026"/>
  </r>
  <r>
    <s v="C029"/>
    <s v="Hassan Musa"/>
    <s v="Male"/>
    <s v="07028889900"/>
    <s v="hassan.musa@email.com"/>
    <x v="6"/>
    <s v="22/03/2026"/>
  </r>
  <r>
    <s v="C030"/>
    <s v="Joy Emmanuel"/>
    <s v="Female"/>
    <s v="08012223344"/>
    <s v="joy.emmanuel@email.com"/>
    <x v="0"/>
    <s v="25/03/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4F50F-2EA0-4DCD-9BDC-AE1B751AEA81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ity ">
  <location ref="B10:C20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10">
        <item x="0"/>
        <item x="8"/>
        <item x="4"/>
        <item x="5"/>
        <item x="6"/>
        <item x="2"/>
        <item x="1"/>
        <item x="7"/>
        <item x="3"/>
        <item t="default"/>
      </items>
    </pivotField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No of Custom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DB76B9-1F43-46B5-A40B-89439E5A82FF}" name="Table5" displayName="Table5" ref="A1:D11" totalsRowShown="0">
  <autoFilter ref="A1:D11" xr:uid="{15DB76B9-1F43-46B5-A40B-89439E5A82FF}"/>
  <tableColumns count="4">
    <tableColumn id="1" xr3:uid="{7CCD33FB-8C5D-4B18-946F-A04AB8C35A6E}" name="Issue"/>
    <tableColumn id="2" xr3:uid="{A41CD88D-8FB3-429E-9082-09F87B2DD04F}" name="Column"/>
    <tableColumn id="3" xr3:uid="{C51CF3D3-4A2F-4642-A690-3E29A78F7628}" name="Example"/>
    <tableColumn id="4" xr3:uid="{5F1A10BE-2612-4FE7-A09E-A68EAD0BB1B8}" name="Action Requir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3343AA-1A1F-4495-A722-32065686917C}" name="Table2" displayName="Table2" ref="A1:G29" totalsRowShown="0">
  <autoFilter ref="A1:G29" xr:uid="{ED3343AA-1A1F-4495-A722-32065686917C}"/>
  <tableColumns count="7">
    <tableColumn id="1" xr3:uid="{36C6B182-2120-46EE-91CB-FD8EBB452016}" name="Customer_ID"/>
    <tableColumn id="9" xr3:uid="{B9593131-791B-491D-953E-9A8AD1DE92BD}" name="Full_Name"/>
    <tableColumn id="11" xr3:uid="{F42D7DAC-277A-4CCD-B104-A3A8FF8021CF}" name="Gender"/>
    <tableColumn id="13" xr3:uid="{28E3AAA5-FA1B-4E19-8914-09F06198E593}" name="Phone"/>
    <tableColumn id="5" xr3:uid="{833058DD-D070-451C-9021-7E3D72F2C9AF}" name="Email"/>
    <tableColumn id="6" xr3:uid="{3A703506-F438-44E5-89C6-E513ED17FE89}" name="City"/>
    <tableColumn id="7" xr3:uid="{AD3D9596-7C44-407E-93BA-8BE3E143F035}" name="Registratio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E1B4-2928-465F-9098-758B75A71A88}">
  <dimension ref="A1:G31"/>
  <sheetViews>
    <sheetView workbookViewId="0">
      <selection activeCell="E5" sqref="A1:G31"/>
    </sheetView>
  </sheetViews>
  <sheetFormatPr defaultRowHeight="14.5" x14ac:dyDescent="0.35"/>
  <cols>
    <col min="1" max="1" width="11.7265625" bestFit="1" customWidth="1"/>
    <col min="2" max="2" width="15.1796875" bestFit="1" customWidth="1"/>
    <col min="3" max="3" width="7" bestFit="1" customWidth="1"/>
    <col min="4" max="4" width="13.1796875" bestFit="1" customWidth="1"/>
    <col min="5" max="5" width="25.7265625" bestFit="1" customWidth="1"/>
    <col min="6" max="6" width="12.08984375" bestFit="1" customWidth="1"/>
    <col min="7" max="7" width="15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46357</v>
      </c>
    </row>
    <row r="3" spans="1:7" x14ac:dyDescent="0.35">
      <c r="A3" t="s">
        <v>13</v>
      </c>
      <c r="B3" t="s">
        <v>14</v>
      </c>
      <c r="C3" t="s">
        <v>15</v>
      </c>
      <c r="D3">
        <v>8061234567</v>
      </c>
      <c r="E3" t="s">
        <v>16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</row>
    <row r="5" spans="1:7" x14ac:dyDescent="0.35">
      <c r="A5" t="s">
        <v>25</v>
      </c>
      <c r="B5" t="s">
        <v>26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7" x14ac:dyDescent="0.3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35">
      <c r="A8" t="s">
        <v>45</v>
      </c>
      <c r="B8" t="s">
        <v>46</v>
      </c>
      <c r="C8" t="s">
        <v>9</v>
      </c>
      <c r="D8" t="s">
        <v>47</v>
      </c>
      <c r="E8" t="s">
        <v>48</v>
      </c>
      <c r="F8" t="s">
        <v>49</v>
      </c>
      <c r="G8" t="s">
        <v>50</v>
      </c>
    </row>
    <row r="9" spans="1:7" x14ac:dyDescent="0.3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35">
      <c r="A10" t="s">
        <v>58</v>
      </c>
      <c r="B10" t="s">
        <v>59</v>
      </c>
      <c r="C10" t="s">
        <v>9</v>
      </c>
      <c r="D10" t="s">
        <v>60</v>
      </c>
      <c r="E10" t="s">
        <v>61</v>
      </c>
      <c r="F10" t="s">
        <v>17</v>
      </c>
      <c r="G10" s="1">
        <v>46055</v>
      </c>
    </row>
    <row r="11" spans="1:7" x14ac:dyDescent="0.35">
      <c r="A11" t="s">
        <v>62</v>
      </c>
      <c r="B11" t="s">
        <v>63</v>
      </c>
      <c r="C11" t="s">
        <v>15</v>
      </c>
      <c r="D11" t="s">
        <v>64</v>
      </c>
      <c r="E11" t="s">
        <v>65</v>
      </c>
      <c r="F11" t="s">
        <v>12</v>
      </c>
      <c r="G11" s="1">
        <v>46144</v>
      </c>
    </row>
    <row r="12" spans="1:7" x14ac:dyDescent="0.35">
      <c r="A12" t="s">
        <v>66</v>
      </c>
      <c r="B12" t="s">
        <v>67</v>
      </c>
      <c r="C12" t="s">
        <v>9</v>
      </c>
      <c r="D12" t="s">
        <v>68</v>
      </c>
      <c r="E12" t="s">
        <v>69</v>
      </c>
      <c r="F12" t="s">
        <v>43</v>
      </c>
      <c r="G12" s="1">
        <v>46236</v>
      </c>
    </row>
    <row r="13" spans="1:7" x14ac:dyDescent="0.35">
      <c r="A13" t="s">
        <v>70</v>
      </c>
      <c r="B13" t="s">
        <v>71</v>
      </c>
      <c r="C13" t="s">
        <v>15</v>
      </c>
      <c r="D13" t="s">
        <v>72</v>
      </c>
      <c r="E13" t="s">
        <v>73</v>
      </c>
      <c r="F13" t="s">
        <v>17</v>
      </c>
      <c r="G13" s="1">
        <v>46297</v>
      </c>
    </row>
    <row r="14" spans="1:7" x14ac:dyDescent="0.35">
      <c r="A14" t="s">
        <v>74</v>
      </c>
      <c r="B14" t="s">
        <v>75</v>
      </c>
      <c r="C14" t="s">
        <v>21</v>
      </c>
      <c r="D14" t="s">
        <v>76</v>
      </c>
      <c r="E14" t="s">
        <v>77</v>
      </c>
      <c r="F14" t="s">
        <v>29</v>
      </c>
      <c r="G14" s="1">
        <v>46358</v>
      </c>
    </row>
    <row r="15" spans="1:7" x14ac:dyDescent="0.35">
      <c r="A15" t="s">
        <v>78</v>
      </c>
      <c r="B15" t="s">
        <v>79</v>
      </c>
      <c r="C15" t="s">
        <v>15</v>
      </c>
      <c r="D15" t="s">
        <v>80</v>
      </c>
      <c r="E15" t="s">
        <v>81</v>
      </c>
      <c r="F15" t="s">
        <v>82</v>
      </c>
      <c r="G15" t="s">
        <v>83</v>
      </c>
    </row>
    <row r="16" spans="1:7" x14ac:dyDescent="0.35">
      <c r="A16" t="s">
        <v>84</v>
      </c>
      <c r="B16" t="s">
        <v>85</v>
      </c>
      <c r="C16" t="s">
        <v>9</v>
      </c>
      <c r="D16" t="s">
        <v>86</v>
      </c>
      <c r="E16" t="s">
        <v>87</v>
      </c>
      <c r="F16" t="s">
        <v>12</v>
      </c>
      <c r="G16" t="s">
        <v>88</v>
      </c>
    </row>
    <row r="17" spans="1:7" x14ac:dyDescent="0.35">
      <c r="A17" t="s">
        <v>89</v>
      </c>
      <c r="B17" t="s">
        <v>90</v>
      </c>
      <c r="C17" t="s">
        <v>40</v>
      </c>
      <c r="D17" t="s">
        <v>91</v>
      </c>
      <c r="E17" t="s">
        <v>92</v>
      </c>
      <c r="F17" t="s">
        <v>17</v>
      </c>
      <c r="G17" t="s">
        <v>93</v>
      </c>
    </row>
    <row r="18" spans="1:7" x14ac:dyDescent="0.35">
      <c r="A18" t="s">
        <v>94</v>
      </c>
      <c r="B18" t="s">
        <v>95</v>
      </c>
      <c r="C18" t="s">
        <v>9</v>
      </c>
      <c r="D18" t="s">
        <v>96</v>
      </c>
      <c r="E18" t="s">
        <v>97</v>
      </c>
      <c r="F18" t="s">
        <v>98</v>
      </c>
      <c r="G18" t="s">
        <v>99</v>
      </c>
    </row>
    <row r="19" spans="1:7" x14ac:dyDescent="0.35">
      <c r="A19" t="s">
        <v>100</v>
      </c>
      <c r="B19" t="s">
        <v>101</v>
      </c>
      <c r="C19" t="s">
        <v>15</v>
      </c>
      <c r="D19" t="s">
        <v>102</v>
      </c>
      <c r="E19" t="s">
        <v>103</v>
      </c>
      <c r="F19" t="s">
        <v>56</v>
      </c>
      <c r="G19" t="s">
        <v>104</v>
      </c>
    </row>
    <row r="20" spans="1:7" x14ac:dyDescent="0.35">
      <c r="A20" t="s">
        <v>105</v>
      </c>
      <c r="B20" t="s">
        <v>106</v>
      </c>
      <c r="C20" t="s">
        <v>9</v>
      </c>
      <c r="D20" t="s">
        <v>107</v>
      </c>
      <c r="E20" t="s">
        <v>108</v>
      </c>
      <c r="F20" t="s">
        <v>43</v>
      </c>
      <c r="G20" t="s">
        <v>109</v>
      </c>
    </row>
    <row r="21" spans="1:7" x14ac:dyDescent="0.35">
      <c r="A21" t="s">
        <v>110</v>
      </c>
      <c r="B21" t="s">
        <v>111</v>
      </c>
      <c r="C21" t="s">
        <v>15</v>
      </c>
      <c r="D21" t="s">
        <v>112</v>
      </c>
      <c r="E21" t="s">
        <v>113</v>
      </c>
      <c r="F21" t="s">
        <v>12</v>
      </c>
      <c r="G21" s="1">
        <v>46056</v>
      </c>
    </row>
    <row r="22" spans="1:7" x14ac:dyDescent="0.35">
      <c r="A22" t="s">
        <v>114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s="1">
        <v>46357</v>
      </c>
    </row>
    <row r="23" spans="1:7" x14ac:dyDescent="0.35">
      <c r="A23" t="s">
        <v>115</v>
      </c>
      <c r="B23" t="s">
        <v>116</v>
      </c>
      <c r="C23" t="s">
        <v>15</v>
      </c>
      <c r="D23" t="s">
        <v>117</v>
      </c>
      <c r="E23" t="s">
        <v>118</v>
      </c>
      <c r="F23" t="s">
        <v>17</v>
      </c>
      <c r="G23" s="1">
        <v>46145</v>
      </c>
    </row>
    <row r="24" spans="1:7" x14ac:dyDescent="0.35">
      <c r="A24" t="s">
        <v>119</v>
      </c>
      <c r="B24" t="s">
        <v>120</v>
      </c>
      <c r="C24" t="s">
        <v>33</v>
      </c>
      <c r="D24" t="s">
        <v>121</v>
      </c>
      <c r="E24" t="s">
        <v>122</v>
      </c>
      <c r="F24" t="s">
        <v>49</v>
      </c>
      <c r="G24" s="1">
        <v>46237</v>
      </c>
    </row>
    <row r="25" spans="1:7" x14ac:dyDescent="0.35">
      <c r="A25" t="s">
        <v>123</v>
      </c>
      <c r="B25" t="s">
        <v>124</v>
      </c>
      <c r="C25" t="s">
        <v>15</v>
      </c>
      <c r="D25" t="s">
        <v>125</v>
      </c>
      <c r="E25" t="s">
        <v>126</v>
      </c>
      <c r="F25" t="s">
        <v>82</v>
      </c>
      <c r="G25" s="1">
        <v>46298</v>
      </c>
    </row>
    <row r="26" spans="1:7" x14ac:dyDescent="0.35">
      <c r="A26" t="s">
        <v>127</v>
      </c>
      <c r="B26" t="s">
        <v>128</v>
      </c>
      <c r="C26" t="s">
        <v>9</v>
      </c>
      <c r="D26" t="s">
        <v>129</v>
      </c>
      <c r="E26" t="s">
        <v>130</v>
      </c>
      <c r="F26" t="s">
        <v>29</v>
      </c>
      <c r="G26" s="1">
        <v>46359</v>
      </c>
    </row>
    <row r="27" spans="1:7" x14ac:dyDescent="0.35">
      <c r="A27" t="s">
        <v>131</v>
      </c>
      <c r="B27" t="s">
        <v>132</v>
      </c>
      <c r="C27" t="s">
        <v>15</v>
      </c>
      <c r="D27" t="s">
        <v>133</v>
      </c>
      <c r="E27" t="s">
        <v>134</v>
      </c>
      <c r="F27" t="s">
        <v>17</v>
      </c>
      <c r="G27" t="s">
        <v>135</v>
      </c>
    </row>
    <row r="28" spans="1:7" x14ac:dyDescent="0.35">
      <c r="A28" t="s">
        <v>136</v>
      </c>
      <c r="B28" t="s">
        <v>137</v>
      </c>
      <c r="C28" t="s">
        <v>21</v>
      </c>
      <c r="D28" t="s">
        <v>138</v>
      </c>
      <c r="E28" t="s">
        <v>139</v>
      </c>
      <c r="F28" t="s">
        <v>43</v>
      </c>
      <c r="G28" t="s">
        <v>140</v>
      </c>
    </row>
    <row r="29" spans="1:7" x14ac:dyDescent="0.35">
      <c r="A29" t="s">
        <v>141</v>
      </c>
      <c r="B29" t="s">
        <v>90</v>
      </c>
      <c r="C29" t="s">
        <v>15</v>
      </c>
      <c r="D29" t="s">
        <v>91</v>
      </c>
      <c r="E29" t="s">
        <v>92</v>
      </c>
      <c r="F29" t="s">
        <v>17</v>
      </c>
      <c r="G29" t="s">
        <v>93</v>
      </c>
    </row>
    <row r="30" spans="1:7" x14ac:dyDescent="0.35">
      <c r="A30" t="s">
        <v>142</v>
      </c>
      <c r="B30" t="s">
        <v>143</v>
      </c>
      <c r="C30" t="s">
        <v>9</v>
      </c>
      <c r="D30" t="s">
        <v>144</v>
      </c>
      <c r="E30" t="s">
        <v>145</v>
      </c>
      <c r="F30" t="s">
        <v>56</v>
      </c>
      <c r="G30" t="s">
        <v>146</v>
      </c>
    </row>
    <row r="31" spans="1:7" x14ac:dyDescent="0.35">
      <c r="A31" t="s">
        <v>147</v>
      </c>
      <c r="B31" t="s">
        <v>148</v>
      </c>
      <c r="C31" t="s">
        <v>15</v>
      </c>
      <c r="D31" t="s">
        <v>149</v>
      </c>
      <c r="E31" t="s">
        <v>150</v>
      </c>
      <c r="F31" t="s">
        <v>12</v>
      </c>
      <c r="G31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FFE0-60FD-4308-A9B8-CE23A95A3D60}">
  <dimension ref="A1:D11"/>
  <sheetViews>
    <sheetView workbookViewId="0">
      <selection activeCell="D14" sqref="D14"/>
    </sheetView>
  </sheetViews>
  <sheetFormatPr defaultRowHeight="14.5" x14ac:dyDescent="0.35"/>
  <cols>
    <col min="1" max="1" width="23.1796875" bestFit="1" customWidth="1"/>
    <col min="2" max="2" width="27.54296875" bestFit="1" customWidth="1"/>
    <col min="3" max="3" width="27.08984375" bestFit="1" customWidth="1"/>
    <col min="4" max="4" width="25.453125" bestFit="1" customWidth="1"/>
  </cols>
  <sheetData>
    <row r="1" spans="1:4" x14ac:dyDescent="0.35">
      <c r="A1" t="s">
        <v>152</v>
      </c>
      <c r="B1" t="s">
        <v>153</v>
      </c>
      <c r="C1" t="s">
        <v>154</v>
      </c>
      <c r="D1" t="s">
        <v>155</v>
      </c>
    </row>
    <row r="2" spans="1:4" x14ac:dyDescent="0.35">
      <c r="A2" t="s">
        <v>156</v>
      </c>
      <c r="B2" t="s">
        <v>1</v>
      </c>
      <c r="C2" t="s">
        <v>14</v>
      </c>
      <c r="D2" t="s">
        <v>157</v>
      </c>
    </row>
    <row r="3" spans="1:4" x14ac:dyDescent="0.35">
      <c r="A3" t="s">
        <v>156</v>
      </c>
      <c r="B3" t="s">
        <v>1</v>
      </c>
      <c r="C3" t="s">
        <v>20</v>
      </c>
      <c r="D3" t="s">
        <v>157</v>
      </c>
    </row>
    <row r="4" spans="1:4" x14ac:dyDescent="0.35">
      <c r="A4" t="s">
        <v>158</v>
      </c>
      <c r="B4" t="s">
        <v>2</v>
      </c>
      <c r="C4" t="s">
        <v>159</v>
      </c>
      <c r="D4" t="s">
        <v>160</v>
      </c>
    </row>
    <row r="5" spans="1:4" x14ac:dyDescent="0.35">
      <c r="A5" t="s">
        <v>158</v>
      </c>
      <c r="B5" t="s">
        <v>2</v>
      </c>
      <c r="C5" t="s">
        <v>161</v>
      </c>
      <c r="D5" t="s">
        <v>160</v>
      </c>
    </row>
    <row r="6" spans="1:4" x14ac:dyDescent="0.35">
      <c r="A6" t="s">
        <v>156</v>
      </c>
      <c r="B6" t="s">
        <v>2</v>
      </c>
      <c r="C6" t="s">
        <v>162</v>
      </c>
      <c r="D6" t="s">
        <v>160</v>
      </c>
    </row>
    <row r="7" spans="1:4" x14ac:dyDescent="0.35">
      <c r="A7" t="s">
        <v>163</v>
      </c>
      <c r="B7" t="s">
        <v>3</v>
      </c>
      <c r="C7" t="s">
        <v>164</v>
      </c>
      <c r="D7" t="s">
        <v>165</v>
      </c>
    </row>
    <row r="8" spans="1:4" x14ac:dyDescent="0.35">
      <c r="A8" t="s">
        <v>163</v>
      </c>
      <c r="B8" t="s">
        <v>3</v>
      </c>
      <c r="C8" t="s">
        <v>22</v>
      </c>
      <c r="D8" t="s">
        <v>165</v>
      </c>
    </row>
    <row r="9" spans="1:4" x14ac:dyDescent="0.35">
      <c r="A9" t="s">
        <v>166</v>
      </c>
      <c r="B9" t="s">
        <v>1</v>
      </c>
      <c r="C9" t="s">
        <v>71</v>
      </c>
      <c r="D9" t="s">
        <v>167</v>
      </c>
    </row>
    <row r="10" spans="1:4" x14ac:dyDescent="0.35">
      <c r="A10" t="s">
        <v>168</v>
      </c>
      <c r="B10" t="s">
        <v>169</v>
      </c>
      <c r="C10" t="s">
        <v>170</v>
      </c>
      <c r="D10" t="s">
        <v>171</v>
      </c>
    </row>
    <row r="11" spans="1:4" x14ac:dyDescent="0.35">
      <c r="A11" t="s">
        <v>168</v>
      </c>
      <c r="B11" t="s">
        <v>169</v>
      </c>
      <c r="C11" t="s">
        <v>172</v>
      </c>
      <c r="D11" t="s">
        <v>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78C6-4F76-49CA-B0E1-1F32DCF6CB30}">
  <dimension ref="A1:G31"/>
  <sheetViews>
    <sheetView topLeftCell="A10" workbookViewId="0">
      <selection activeCell="I29" sqref="I29"/>
    </sheetView>
  </sheetViews>
  <sheetFormatPr defaultRowHeight="14.5" x14ac:dyDescent="0.35"/>
  <cols>
    <col min="1" max="1" width="13.81640625" customWidth="1"/>
    <col min="2" max="2" width="15.1796875" bestFit="1" customWidth="1"/>
    <col min="3" max="3" width="9.26953125" bestFit="1" customWidth="1"/>
    <col min="4" max="4" width="11.81640625" bestFit="1" customWidth="1"/>
    <col min="5" max="5" width="25.7265625" bestFit="1" customWidth="1"/>
    <col min="6" max="6" width="12.08984375" bestFit="1" customWidth="1"/>
    <col min="7" max="7" width="16" style="2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179</v>
      </c>
      <c r="E2" t="s">
        <v>11</v>
      </c>
      <c r="F2" t="s">
        <v>12</v>
      </c>
      <c r="G2" s="2">
        <v>46357</v>
      </c>
    </row>
    <row r="3" spans="1:7" x14ac:dyDescent="0.35">
      <c r="A3" t="s">
        <v>13</v>
      </c>
      <c r="B3" t="s">
        <v>173</v>
      </c>
      <c r="C3" t="s">
        <v>15</v>
      </c>
      <c r="D3" t="s">
        <v>180</v>
      </c>
      <c r="E3" t="s">
        <v>16</v>
      </c>
      <c r="F3" t="s">
        <v>17</v>
      </c>
      <c r="G3" s="2" t="s">
        <v>18</v>
      </c>
    </row>
    <row r="4" spans="1:7" x14ac:dyDescent="0.35">
      <c r="A4" t="s">
        <v>19</v>
      </c>
      <c r="B4" t="s">
        <v>174</v>
      </c>
      <c r="C4" t="s">
        <v>9</v>
      </c>
      <c r="D4" t="s">
        <v>181</v>
      </c>
      <c r="E4" t="s">
        <v>23</v>
      </c>
      <c r="F4" t="s">
        <v>12</v>
      </c>
      <c r="G4" s="2" t="s">
        <v>24</v>
      </c>
    </row>
    <row r="5" spans="1:7" x14ac:dyDescent="0.35">
      <c r="A5" t="s">
        <v>25</v>
      </c>
      <c r="B5" t="s">
        <v>26</v>
      </c>
      <c r="C5" t="s">
        <v>15</v>
      </c>
      <c r="D5" t="s">
        <v>182</v>
      </c>
      <c r="E5" t="s">
        <v>28</v>
      </c>
      <c r="F5" t="s">
        <v>29</v>
      </c>
      <c r="G5" s="2" t="s">
        <v>30</v>
      </c>
    </row>
    <row r="6" spans="1:7" x14ac:dyDescent="0.35">
      <c r="A6" t="s">
        <v>31</v>
      </c>
      <c r="B6" t="s">
        <v>175</v>
      </c>
      <c r="C6" t="s">
        <v>9</v>
      </c>
      <c r="D6" t="s">
        <v>183</v>
      </c>
      <c r="E6" t="s">
        <v>35</v>
      </c>
      <c r="F6" t="s">
        <v>36</v>
      </c>
      <c r="G6" s="2" t="s">
        <v>37</v>
      </c>
    </row>
    <row r="7" spans="1:7" x14ac:dyDescent="0.35">
      <c r="A7" t="s">
        <v>38</v>
      </c>
      <c r="B7" t="s">
        <v>39</v>
      </c>
      <c r="C7" t="s">
        <v>15</v>
      </c>
      <c r="D7" t="s">
        <v>184</v>
      </c>
      <c r="E7" t="s">
        <v>42</v>
      </c>
      <c r="F7" t="s">
        <v>43</v>
      </c>
      <c r="G7" s="2" t="s">
        <v>44</v>
      </c>
    </row>
    <row r="8" spans="1:7" x14ac:dyDescent="0.35">
      <c r="A8" t="s">
        <v>45</v>
      </c>
      <c r="B8" t="s">
        <v>46</v>
      </c>
      <c r="C8" t="s">
        <v>9</v>
      </c>
      <c r="D8" t="s">
        <v>185</v>
      </c>
      <c r="E8" t="s">
        <v>48</v>
      </c>
      <c r="F8" t="s">
        <v>49</v>
      </c>
      <c r="G8" s="2" t="s">
        <v>50</v>
      </c>
    </row>
    <row r="9" spans="1:7" x14ac:dyDescent="0.35">
      <c r="A9" t="s">
        <v>51</v>
      </c>
      <c r="B9" t="s">
        <v>52</v>
      </c>
      <c r="C9" t="s">
        <v>15</v>
      </c>
      <c r="D9" t="s">
        <v>186</v>
      </c>
      <c r="E9" t="s">
        <v>55</v>
      </c>
      <c r="F9" t="s">
        <v>56</v>
      </c>
      <c r="G9" s="2" t="s">
        <v>57</v>
      </c>
    </row>
    <row r="10" spans="1:7" x14ac:dyDescent="0.35">
      <c r="A10" t="s">
        <v>58</v>
      </c>
      <c r="B10" t="s">
        <v>59</v>
      </c>
      <c r="C10" t="s">
        <v>9</v>
      </c>
      <c r="D10" t="s">
        <v>187</v>
      </c>
      <c r="E10" t="s">
        <v>61</v>
      </c>
      <c r="F10" t="s">
        <v>17</v>
      </c>
      <c r="G10" s="2">
        <v>46055</v>
      </c>
    </row>
    <row r="11" spans="1:7" x14ac:dyDescent="0.35">
      <c r="A11" t="s">
        <v>62</v>
      </c>
      <c r="B11" t="s">
        <v>176</v>
      </c>
      <c r="C11" t="s">
        <v>15</v>
      </c>
      <c r="D11" t="s">
        <v>188</v>
      </c>
      <c r="E11" t="s">
        <v>65</v>
      </c>
      <c r="F11" t="s">
        <v>12</v>
      </c>
      <c r="G11" s="2">
        <v>46144</v>
      </c>
    </row>
    <row r="12" spans="1:7" x14ac:dyDescent="0.35">
      <c r="A12" t="s">
        <v>66</v>
      </c>
      <c r="B12" t="s">
        <v>67</v>
      </c>
      <c r="C12" t="s">
        <v>9</v>
      </c>
      <c r="D12" t="s">
        <v>189</v>
      </c>
      <c r="E12" t="s">
        <v>69</v>
      </c>
      <c r="F12" t="s">
        <v>43</v>
      </c>
      <c r="G12" s="2">
        <v>46236</v>
      </c>
    </row>
    <row r="13" spans="1:7" x14ac:dyDescent="0.35">
      <c r="A13" t="s">
        <v>70</v>
      </c>
      <c r="B13" t="s">
        <v>71</v>
      </c>
      <c r="C13" t="s">
        <v>15</v>
      </c>
      <c r="D13" t="s">
        <v>190</v>
      </c>
      <c r="E13" t="s">
        <v>73</v>
      </c>
      <c r="F13" t="s">
        <v>17</v>
      </c>
      <c r="G13" s="2">
        <v>46297</v>
      </c>
    </row>
    <row r="14" spans="1:7" x14ac:dyDescent="0.35">
      <c r="A14" t="s">
        <v>74</v>
      </c>
      <c r="B14" t="s">
        <v>75</v>
      </c>
      <c r="C14" t="s">
        <v>9</v>
      </c>
      <c r="D14" t="s">
        <v>191</v>
      </c>
      <c r="E14" t="s">
        <v>77</v>
      </c>
      <c r="F14" t="s">
        <v>29</v>
      </c>
      <c r="G14" s="2">
        <v>46358</v>
      </c>
    </row>
    <row r="15" spans="1:7" x14ac:dyDescent="0.35">
      <c r="A15" t="s">
        <v>78</v>
      </c>
      <c r="B15" t="s">
        <v>79</v>
      </c>
      <c r="C15" t="s">
        <v>15</v>
      </c>
      <c r="D15" t="s">
        <v>192</v>
      </c>
      <c r="E15" t="s">
        <v>81</v>
      </c>
      <c r="F15" t="s">
        <v>82</v>
      </c>
      <c r="G15" s="2" t="s">
        <v>83</v>
      </c>
    </row>
    <row r="16" spans="1:7" x14ac:dyDescent="0.35">
      <c r="A16" t="s">
        <v>84</v>
      </c>
      <c r="B16" t="s">
        <v>85</v>
      </c>
      <c r="C16" t="s">
        <v>9</v>
      </c>
      <c r="D16" t="s">
        <v>193</v>
      </c>
      <c r="E16" t="s">
        <v>87</v>
      </c>
      <c r="F16" t="s">
        <v>12</v>
      </c>
      <c r="G16" s="2" t="s">
        <v>88</v>
      </c>
    </row>
    <row r="17" spans="1:7" x14ac:dyDescent="0.35">
      <c r="A17" t="s">
        <v>89</v>
      </c>
      <c r="B17" t="s">
        <v>90</v>
      </c>
      <c r="C17" t="s">
        <v>15</v>
      </c>
      <c r="D17" t="s">
        <v>194</v>
      </c>
      <c r="E17" t="s">
        <v>92</v>
      </c>
      <c r="F17" t="s">
        <v>17</v>
      </c>
      <c r="G17" s="2" t="s">
        <v>93</v>
      </c>
    </row>
    <row r="18" spans="1:7" x14ac:dyDescent="0.35">
      <c r="A18" t="s">
        <v>94</v>
      </c>
      <c r="B18" t="s">
        <v>95</v>
      </c>
      <c r="C18" t="s">
        <v>9</v>
      </c>
      <c r="D18" t="s">
        <v>195</v>
      </c>
      <c r="E18" t="s">
        <v>97</v>
      </c>
      <c r="F18" t="s">
        <v>98</v>
      </c>
      <c r="G18" s="2" t="s">
        <v>99</v>
      </c>
    </row>
    <row r="19" spans="1:7" x14ac:dyDescent="0.35">
      <c r="A19" t="s">
        <v>100</v>
      </c>
      <c r="B19" t="s">
        <v>177</v>
      </c>
      <c r="C19" t="s">
        <v>15</v>
      </c>
      <c r="D19" t="s">
        <v>196</v>
      </c>
      <c r="E19" t="s">
        <v>103</v>
      </c>
      <c r="F19" t="s">
        <v>56</v>
      </c>
      <c r="G19" s="2" t="s">
        <v>104</v>
      </c>
    </row>
    <row r="20" spans="1:7" x14ac:dyDescent="0.35">
      <c r="A20" t="s">
        <v>105</v>
      </c>
      <c r="B20" t="s">
        <v>106</v>
      </c>
      <c r="C20" t="s">
        <v>9</v>
      </c>
      <c r="D20" t="s">
        <v>197</v>
      </c>
      <c r="E20" t="s">
        <v>108</v>
      </c>
      <c r="F20" t="s">
        <v>43</v>
      </c>
      <c r="G20" s="2" t="s">
        <v>109</v>
      </c>
    </row>
    <row r="21" spans="1:7" x14ac:dyDescent="0.35">
      <c r="A21" t="s">
        <v>110</v>
      </c>
      <c r="B21" t="s">
        <v>111</v>
      </c>
      <c r="C21" t="s">
        <v>15</v>
      </c>
      <c r="D21" t="s">
        <v>198</v>
      </c>
      <c r="E21" t="s">
        <v>113</v>
      </c>
      <c r="F21" t="s">
        <v>12</v>
      </c>
      <c r="G21" s="2">
        <v>46056</v>
      </c>
    </row>
    <row r="22" spans="1:7" x14ac:dyDescent="0.35">
      <c r="A22" t="s">
        <v>115</v>
      </c>
      <c r="B22" t="s">
        <v>116</v>
      </c>
      <c r="C22" t="s">
        <v>15</v>
      </c>
      <c r="D22" t="s">
        <v>199</v>
      </c>
      <c r="E22" t="s">
        <v>118</v>
      </c>
      <c r="F22" t="s">
        <v>17</v>
      </c>
      <c r="G22" s="2">
        <v>46145</v>
      </c>
    </row>
    <row r="23" spans="1:7" x14ac:dyDescent="0.35">
      <c r="A23" t="s">
        <v>119</v>
      </c>
      <c r="B23" t="s">
        <v>120</v>
      </c>
      <c r="C23" t="s">
        <v>9</v>
      </c>
      <c r="D23" t="s">
        <v>200</v>
      </c>
      <c r="E23" t="s">
        <v>122</v>
      </c>
      <c r="F23" t="s">
        <v>49</v>
      </c>
      <c r="G23" s="2">
        <v>46237</v>
      </c>
    </row>
    <row r="24" spans="1:7" x14ac:dyDescent="0.35">
      <c r="A24" t="s">
        <v>123</v>
      </c>
      <c r="B24" t="s">
        <v>178</v>
      </c>
      <c r="C24" t="s">
        <v>15</v>
      </c>
      <c r="D24" t="s">
        <v>201</v>
      </c>
      <c r="E24" t="s">
        <v>126</v>
      </c>
      <c r="F24" t="s">
        <v>82</v>
      </c>
      <c r="G24" s="2">
        <v>46298</v>
      </c>
    </row>
    <row r="25" spans="1:7" x14ac:dyDescent="0.35">
      <c r="A25" t="s">
        <v>127</v>
      </c>
      <c r="B25" t="s">
        <v>128</v>
      </c>
      <c r="C25" t="s">
        <v>9</v>
      </c>
      <c r="D25" t="s">
        <v>202</v>
      </c>
      <c r="E25" t="s">
        <v>130</v>
      </c>
      <c r="F25" t="s">
        <v>29</v>
      </c>
      <c r="G25" s="2">
        <v>46359</v>
      </c>
    </row>
    <row r="26" spans="1:7" x14ac:dyDescent="0.35">
      <c r="A26" t="s">
        <v>131</v>
      </c>
      <c r="B26" t="s">
        <v>132</v>
      </c>
      <c r="C26" t="s">
        <v>15</v>
      </c>
      <c r="D26" t="s">
        <v>203</v>
      </c>
      <c r="E26" t="s">
        <v>134</v>
      </c>
      <c r="F26" t="s">
        <v>17</v>
      </c>
      <c r="G26" s="2" t="s">
        <v>135</v>
      </c>
    </row>
    <row r="27" spans="1:7" x14ac:dyDescent="0.35">
      <c r="A27" t="s">
        <v>136</v>
      </c>
      <c r="B27" t="s">
        <v>137</v>
      </c>
      <c r="C27" t="s">
        <v>9</v>
      </c>
      <c r="D27" t="s">
        <v>204</v>
      </c>
      <c r="E27" t="s">
        <v>139</v>
      </c>
      <c r="F27" t="s">
        <v>43</v>
      </c>
      <c r="G27" s="2" t="s">
        <v>140</v>
      </c>
    </row>
    <row r="28" spans="1:7" x14ac:dyDescent="0.35">
      <c r="A28" t="s">
        <v>142</v>
      </c>
      <c r="B28" t="s">
        <v>143</v>
      </c>
      <c r="C28" t="s">
        <v>9</v>
      </c>
      <c r="D28" t="s">
        <v>205</v>
      </c>
      <c r="E28" t="s">
        <v>145</v>
      </c>
      <c r="F28" t="s">
        <v>56</v>
      </c>
      <c r="G28" s="2" t="s">
        <v>146</v>
      </c>
    </row>
    <row r="29" spans="1:7" x14ac:dyDescent="0.35">
      <c r="A29" t="s">
        <v>147</v>
      </c>
      <c r="B29" t="s">
        <v>148</v>
      </c>
      <c r="C29" t="s">
        <v>15</v>
      </c>
      <c r="D29" t="s">
        <v>206</v>
      </c>
      <c r="E29" t="s">
        <v>150</v>
      </c>
      <c r="F29" t="s">
        <v>12</v>
      </c>
      <c r="G29" s="2" t="s">
        <v>151</v>
      </c>
    </row>
    <row r="30" spans="1:7" x14ac:dyDescent="0.35">
      <c r="G30"/>
    </row>
    <row r="31" spans="1:7" x14ac:dyDescent="0.35">
      <c r="G31"/>
    </row>
  </sheetData>
  <pageMargins left="0.7" right="0.7" top="0.75" bottom="0.75" header="0.3" footer="0.3"/>
  <ignoredErrors>
    <ignoredError sqref="D2:D29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8162-3A57-4AD2-A505-9570ACF48F27}">
  <dimension ref="A1:G15"/>
  <sheetViews>
    <sheetView workbookViewId="0">
      <selection activeCell="C2" sqref="C2"/>
    </sheetView>
  </sheetViews>
  <sheetFormatPr defaultRowHeight="14.5" x14ac:dyDescent="0.35"/>
  <cols>
    <col min="1" max="1" width="19.08984375" bestFit="1" customWidth="1"/>
    <col min="2" max="2" width="15.26953125" bestFit="1" customWidth="1"/>
    <col min="3" max="3" width="14" bestFit="1" customWidth="1"/>
    <col min="4" max="4" width="11.54296875" bestFit="1" customWidth="1"/>
    <col min="10" max="10" width="14.6328125" bestFit="1" customWidth="1"/>
    <col min="11" max="11" width="15.26953125" bestFit="1" customWidth="1"/>
    <col min="12" max="12" width="14" bestFit="1" customWidth="1"/>
    <col min="13" max="13" width="11.54296875" bestFit="1" customWidth="1"/>
  </cols>
  <sheetData>
    <row r="1" spans="1:7" x14ac:dyDescent="0.35">
      <c r="A1" s="4" t="s">
        <v>210</v>
      </c>
      <c r="B1" s="4" t="s">
        <v>207</v>
      </c>
      <c r="C1" s="4" t="s">
        <v>208</v>
      </c>
      <c r="D1" s="4" t="s">
        <v>209</v>
      </c>
    </row>
    <row r="2" spans="1:7" x14ac:dyDescent="0.35">
      <c r="A2" s="4" t="s">
        <v>211</v>
      </c>
      <c r="B2" s="5" t="s">
        <v>212</v>
      </c>
      <c r="C2" s="5">
        <f>COUNTA(Cleaned_Data!B2:B29)</f>
        <v>28</v>
      </c>
      <c r="D2" s="5">
        <v>28</v>
      </c>
    </row>
    <row r="3" spans="1:7" x14ac:dyDescent="0.35">
      <c r="A3" s="4" t="s">
        <v>213</v>
      </c>
      <c r="B3" s="5" t="s">
        <v>214</v>
      </c>
      <c r="C3" s="5" cm="1">
        <f t="array" ref="C3">SUMPRODUCT(--(COUNTIF(Cleaned_Data!A2:A29,Cleaned_Data!A2:A29)&gt;1))</f>
        <v>0</v>
      </c>
      <c r="D3" s="5">
        <v>0</v>
      </c>
    </row>
    <row r="4" spans="1:7" x14ac:dyDescent="0.35">
      <c r="A4" s="4" t="s">
        <v>215</v>
      </c>
      <c r="B4" s="5" t="s">
        <v>216</v>
      </c>
      <c r="C4" s="5">
        <f>COUNTBLANK(Cleaned_Data!B2:B29)</f>
        <v>0</v>
      </c>
      <c r="D4" s="5">
        <v>0</v>
      </c>
    </row>
    <row r="5" spans="1:7" x14ac:dyDescent="0.35">
      <c r="A5" s="4" t="s">
        <v>217</v>
      </c>
      <c r="B5" s="5" t="s">
        <v>216</v>
      </c>
      <c r="C5" s="5">
        <f>COUNTBLANK(Cleaned_Data!E2:E29)</f>
        <v>0</v>
      </c>
      <c r="D5" s="5">
        <v>0</v>
      </c>
    </row>
    <row r="6" spans="1:7" x14ac:dyDescent="0.35">
      <c r="A6" s="4" t="s">
        <v>218</v>
      </c>
      <c r="B6" s="5" t="s">
        <v>214</v>
      </c>
      <c r="C6" s="5" cm="1">
        <f t="array" ref="C6">SUMPRODUCT(--(Cleaned_Data!C2:C29&lt;&gt;"Male"),--(Cleaned_Data!C2:C29&lt;&gt;"Female"))</f>
        <v>0</v>
      </c>
      <c r="D6" s="5">
        <v>0</v>
      </c>
    </row>
    <row r="7" spans="1:7" x14ac:dyDescent="0.35">
      <c r="A7" s="4" t="s">
        <v>219</v>
      </c>
      <c r="B7" s="5" t="s">
        <v>214</v>
      </c>
      <c r="C7" s="5" cm="1">
        <f t="array" ref="C7">SUMPRODUCT(--LEN(Cleaned_Data!D2:D29)&lt;&gt;11)</f>
        <v>0</v>
      </c>
      <c r="D7" s="5">
        <v>0</v>
      </c>
    </row>
    <row r="15" spans="1:7" x14ac:dyDescent="0.35">
      <c r="G15" t="s">
        <v>220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1539-9BE9-40CB-A69F-C2D0A07C4708}">
  <dimension ref="A1:I20"/>
  <sheetViews>
    <sheetView tabSelected="1" workbookViewId="0">
      <selection activeCell="J10" sqref="J10"/>
    </sheetView>
  </sheetViews>
  <sheetFormatPr defaultRowHeight="14.5" x14ac:dyDescent="0.35"/>
  <cols>
    <col min="1" max="1" width="15.90625" customWidth="1"/>
    <col min="2" max="2" width="12.36328125" bestFit="1" customWidth="1"/>
    <col min="3" max="3" width="19.7265625" bestFit="1" customWidth="1"/>
  </cols>
  <sheetData>
    <row r="1" spans="1:9" ht="18.5" x14ac:dyDescent="0.45">
      <c r="A1" s="3" t="s">
        <v>221</v>
      </c>
      <c r="I1" s="11" t="s">
        <v>228</v>
      </c>
    </row>
    <row r="2" spans="1:9" ht="18.5" x14ac:dyDescent="0.45">
      <c r="A2" s="3" t="s">
        <v>226</v>
      </c>
      <c r="B2" t="s">
        <v>227</v>
      </c>
      <c r="I2" s="12" t="s">
        <v>229</v>
      </c>
    </row>
    <row r="3" spans="1:9" ht="18.5" x14ac:dyDescent="0.45">
      <c r="A3" s="3" t="s">
        <v>222</v>
      </c>
      <c r="B3" s="5">
        <f>COUNTA(Cleaned_Data!A2:A29)</f>
        <v>28</v>
      </c>
      <c r="I3" s="12" t="s">
        <v>230</v>
      </c>
    </row>
    <row r="4" spans="1:9" ht="18.5" x14ac:dyDescent="0.45">
      <c r="A4" s="3" t="s">
        <v>223</v>
      </c>
      <c r="B4">
        <f>COUNTIF(Cleaned_Data!C2:C29,"Male")</f>
        <v>14</v>
      </c>
      <c r="I4" s="12" t="s">
        <v>231</v>
      </c>
    </row>
    <row r="5" spans="1:9" ht="18.5" x14ac:dyDescent="0.45">
      <c r="A5" s="3" t="s">
        <v>224</v>
      </c>
      <c r="B5">
        <f>COUNTIF(Cleaned_Data!C2:C29,"FeMale")</f>
        <v>14</v>
      </c>
      <c r="I5" s="12" t="s">
        <v>232</v>
      </c>
    </row>
    <row r="6" spans="1:9" x14ac:dyDescent="0.35">
      <c r="A6" s="3" t="s">
        <v>236</v>
      </c>
      <c r="B6" s="9">
        <f>B4/B3</f>
        <v>0.5</v>
      </c>
    </row>
    <row r="7" spans="1:9" x14ac:dyDescent="0.35">
      <c r="A7" s="3" t="s">
        <v>237</v>
      </c>
      <c r="B7" s="9">
        <f>B5/B3</f>
        <v>0.5</v>
      </c>
    </row>
    <row r="9" spans="1:9" x14ac:dyDescent="0.35">
      <c r="B9" s="10" t="s">
        <v>233</v>
      </c>
      <c r="C9" s="10"/>
    </row>
    <row r="10" spans="1:9" x14ac:dyDescent="0.35">
      <c r="B10" s="6" t="s">
        <v>225</v>
      </c>
      <c r="C10" t="s">
        <v>235</v>
      </c>
    </row>
    <row r="11" spans="1:9" x14ac:dyDescent="0.35">
      <c r="B11" s="7" t="s">
        <v>12</v>
      </c>
      <c r="C11" s="8">
        <v>6</v>
      </c>
    </row>
    <row r="12" spans="1:9" x14ac:dyDescent="0.35">
      <c r="B12" s="7" t="s">
        <v>98</v>
      </c>
      <c r="C12" s="8">
        <v>1</v>
      </c>
    </row>
    <row r="13" spans="1:9" x14ac:dyDescent="0.35">
      <c r="B13" s="7" t="s">
        <v>43</v>
      </c>
      <c r="C13" s="8">
        <v>4</v>
      </c>
    </row>
    <row r="14" spans="1:9" x14ac:dyDescent="0.35">
      <c r="B14" s="7" t="s">
        <v>49</v>
      </c>
      <c r="C14" s="8">
        <v>2</v>
      </c>
    </row>
    <row r="15" spans="1:9" x14ac:dyDescent="0.35">
      <c r="B15" s="7" t="s">
        <v>56</v>
      </c>
      <c r="C15" s="8">
        <v>3</v>
      </c>
    </row>
    <row r="16" spans="1:9" x14ac:dyDescent="0.35">
      <c r="B16" s="7" t="s">
        <v>29</v>
      </c>
      <c r="C16" s="8">
        <v>3</v>
      </c>
    </row>
    <row r="17" spans="2:3" x14ac:dyDescent="0.35">
      <c r="B17" s="7" t="s">
        <v>17</v>
      </c>
      <c r="C17" s="8">
        <v>6</v>
      </c>
    </row>
    <row r="18" spans="2:3" x14ac:dyDescent="0.35">
      <c r="B18" s="7" t="s">
        <v>82</v>
      </c>
      <c r="C18" s="8">
        <v>2</v>
      </c>
    </row>
    <row r="19" spans="2:3" x14ac:dyDescent="0.35">
      <c r="B19" s="7" t="s">
        <v>36</v>
      </c>
      <c r="C19" s="8">
        <v>1</v>
      </c>
    </row>
    <row r="20" spans="2:3" x14ac:dyDescent="0.35">
      <c r="B20" s="7" t="s">
        <v>234</v>
      </c>
      <c r="C20" s="8">
        <v>28</v>
      </c>
    </row>
  </sheetData>
  <mergeCells count="1">
    <mergeCell ref="B9:C9"/>
  </mergeCells>
  <pageMargins left="0.7" right="0.7" top="0.75" bottom="0.75" header="0.3" footer="0.3"/>
  <pageSetup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Data_Quality_Check</vt:lpstr>
      <vt:lpstr>Cleaned_Data</vt:lpstr>
      <vt:lpstr>Validation_Check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Adanna Okeke</dc:creator>
  <cp:lastModifiedBy>Adanna Okeke</cp:lastModifiedBy>
  <dcterms:created xsi:type="dcterms:W3CDTF">2026-10-05T11:32:25Z</dcterms:created>
  <dcterms:modified xsi:type="dcterms:W3CDTF">2026-10-05T13:58:11Z</dcterms:modified>
</cp:coreProperties>
</file>